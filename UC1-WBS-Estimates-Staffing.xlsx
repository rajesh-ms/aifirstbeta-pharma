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te Card (Americas)" sheetId="2" state="visible" r:id="rId2"/>
    <sheet name="WBS &amp; Estimates" sheetId="3" state="visible" r:id="rId3"/>
    <sheet name="Staffing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&quot;-&quot;"/>
    <numFmt numFmtId="165" formatCode="#,##0;(#,##0);&quot;-&quot;"/>
    <numFmt numFmtId="166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002060"/>
      <sz val="14"/>
    </font>
    <font>
      <name val="Arial"/>
      <color rgb="00808080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8"/>
    </font>
    <font>
      <name val="Arial"/>
      <color rgb="00008000"/>
      <sz val="10"/>
    </font>
    <font>
      <name val="Arial"/>
      <b val="1"/>
      <color rgb="00000000"/>
      <sz val="10"/>
    </font>
    <font>
      <name val="Arial"/>
      <b val="1"/>
      <color rgb="00002060"/>
      <sz val="10"/>
    </font>
    <font>
      <name val="Arial"/>
      <color rgb="00808080"/>
      <sz val="8"/>
    </font>
    <font>
      <name val="Arial"/>
      <b val="1"/>
      <color rgb="00002060"/>
      <sz val="16"/>
    </font>
    <font>
      <name val="Arial"/>
      <b val="1"/>
      <color rgb="00808080"/>
      <sz val="11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8EAADB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" fontId="7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165" fontId="8" fillId="4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" fontId="8" fillId="4" borderId="1" applyAlignment="1" pivotButton="0" quotePrefix="0" xfId="0">
      <alignment horizontal="center" vertical="center"/>
    </xf>
    <xf numFmtId="2" fontId="8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2" fontId="8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UC1 — Multi-Step Discovery Orchestration</t>
        </is>
      </c>
    </row>
    <row r="2">
      <c r="A2" s="2" t="inlineStr">
        <is>
          <t>WBS, Estimates &amp; Staffing — engagement summary</t>
        </is>
      </c>
    </row>
    <row r="3">
      <c r="A3" s="3" t="inlineStr">
        <is>
          <t>Companion to UC1-Solution-Implementation-Plan.md &amp; UC1-Solution-Design.md. Estimate model &amp; rates grounded in the attached FY25 IS template (WBS_Estimates_Staffing.xlsx).</t>
        </is>
      </c>
    </row>
    <row r="5">
      <c r="A5" s="4" t="inlineStr">
        <is>
          <t>Engagement at a glance</t>
        </is>
      </c>
    </row>
    <row r="6">
      <c r="A6" s="5" t="inlineStr">
        <is>
          <t>Total effort (hours)</t>
        </is>
      </c>
      <c r="B6" s="6">
        <f>'WBS &amp; Estimates'!J23</f>
        <v>11190</v>
      </c>
    </row>
    <row r="7">
      <c r="A7" s="5" t="inlineStr">
        <is>
          <t>Professional fees (USD)</t>
        </is>
      </c>
      <c r="B7" s="7">
        <f>'WBS &amp; Estimates'!I23</f>
        <v>2922700</v>
      </c>
    </row>
    <row r="8">
      <c r="A8" s="5" t="inlineStr">
        <is>
          <t>Total investment incl. risk reserve + expenses (USD)</t>
        </is>
      </c>
      <c r="B8" s="7">
        <f>'WBS &amp; Estimates'!I31</f>
        <v>3214970</v>
      </c>
    </row>
    <row r="9">
      <c r="A9" s="5" t="inlineStr">
        <is>
          <t>Blended rate (USD/hr)</t>
        </is>
      </c>
      <c r="B9" s="7">
        <f>'WBS &amp; Estimates'!I23/'WBS &amp; Estimates'!J23</f>
        <v>261.1885612</v>
      </c>
    </row>
    <row r="10">
      <c r="A10" s="5" t="inlineStr">
        <is>
          <t>Duration</t>
        </is>
      </c>
      <c r="B10" s="8" t="inlineStr">
        <is>
          <t>~15 months (5 phases)</t>
        </is>
      </c>
    </row>
    <row r="11">
      <c r="A11" s="5" t="inlineStr">
        <is>
          <t>Named delivery roles</t>
        </is>
      </c>
      <c r="B11" s="9">
        <f>'Staffing Plan'!J25</f>
        <v>17</v>
      </c>
    </row>
    <row r="13">
      <c r="A13" s="4" t="inlineStr">
        <is>
          <t>By workstream</t>
        </is>
      </c>
    </row>
    <row r="14">
      <c r="A14" s="10" t="inlineStr">
        <is>
          <t>Workstream</t>
        </is>
      </c>
      <c r="B14" s="10" t="inlineStr">
        <is>
          <t>Hours</t>
        </is>
      </c>
      <c r="C14" s="10" t="inlineStr">
        <is>
          <t>Fees (USD)</t>
        </is>
      </c>
      <c r="D14" s="10" t="inlineStr">
        <is>
          <t>% Fees</t>
        </is>
      </c>
    </row>
    <row r="15">
      <c r="A15" s="11" t="inlineStr">
        <is>
          <t>1. Governance &amp; Program Mgmt</t>
        </is>
      </c>
      <c r="B15" s="12">
        <f>SUMPRODUCT(('WBS &amp; Estimates'!$B$6:$B$22=$A15)*'WBS &amp; Estimates'!$J$6:$J$22)</f>
        <v>1050</v>
      </c>
      <c r="C15" s="13">
        <f>SUMPRODUCT(('WBS &amp; Estimates'!$B$6:$B$22=$A15)*'WBS &amp; Estimates'!$I$6:$I$22)</f>
        <v>288200</v>
      </c>
      <c r="D15" s="14">
        <f>C15/$C$20</f>
        <v>0.09860745201</v>
      </c>
    </row>
    <row r="16">
      <c r="A16" s="11" t="inlineStr">
        <is>
          <t>2. Security &amp; Compliance</t>
        </is>
      </c>
      <c r="B16" s="12">
        <f>SUMPRODUCT(('WBS &amp; Estimates'!$B$6:$B$22=$A16)*'WBS &amp; Estimates'!$J$6:$J$22)</f>
        <v>1040</v>
      </c>
      <c r="C16" s="13">
        <f>SUMPRODUCT(('WBS &amp; Estimates'!$B$6:$B$22=$A16)*'WBS &amp; Estimates'!$I$6:$I$22)</f>
        <v>278200</v>
      </c>
      <c r="D16" s="14">
        <f>C16/$C$20</f>
        <v>0.09518595819</v>
      </c>
    </row>
    <row r="17">
      <c r="A17" s="11" t="inlineStr">
        <is>
          <t>3. Data Foundation</t>
        </is>
      </c>
      <c r="B17" s="12">
        <f>SUMPRODUCT(('WBS &amp; Estimates'!$B$6:$B$22=$A17)*'WBS &amp; Estimates'!$J$6:$J$22)</f>
        <v>2940</v>
      </c>
      <c r="C17" s="13">
        <f>SUMPRODUCT(('WBS &amp; Estimates'!$B$6:$B$22=$A17)*'WBS &amp; Estimates'!$I$6:$I$22)</f>
        <v>629500</v>
      </c>
      <c r="D17" s="14">
        <f>C17/$C$20</f>
        <v>0.2153830362</v>
      </c>
    </row>
    <row r="18">
      <c r="A18" s="11" t="inlineStr">
        <is>
          <t>4. Agentic AI Discovery UC</t>
        </is>
      </c>
      <c r="B18" s="12">
        <f>SUMPRODUCT(('WBS &amp; Estimates'!$B$6:$B$22=$A18)*'WBS &amp; Estimates'!$J$6:$J$22)</f>
        <v>5600</v>
      </c>
      <c r="C18" s="13">
        <f>SUMPRODUCT(('WBS &amp; Estimates'!$B$6:$B$22=$A18)*'WBS &amp; Estimates'!$I$6:$I$22)</f>
        <v>1676400</v>
      </c>
      <c r="D18" s="14">
        <f>C18/$C$20</f>
        <v>0.5735792247</v>
      </c>
    </row>
    <row r="19">
      <c r="A19" s="11" t="inlineStr">
        <is>
          <t>5. SecureByDefault &amp; Ops</t>
        </is>
      </c>
      <c r="B19" s="12">
        <f>SUMPRODUCT(('WBS &amp; Estimates'!$B$6:$B$22=$A19)*'WBS &amp; Estimates'!$J$6:$J$22)</f>
        <v>560</v>
      </c>
      <c r="C19" s="13">
        <f>SUMPRODUCT(('WBS &amp; Estimates'!$B$6:$B$22=$A19)*'WBS &amp; Estimates'!$I$6:$I$22)</f>
        <v>50400</v>
      </c>
      <c r="D19" s="14">
        <f>C19/$C$20</f>
        <v>0.01724432887</v>
      </c>
    </row>
    <row r="20">
      <c r="A20" s="15" t="inlineStr">
        <is>
          <t>Total</t>
        </is>
      </c>
      <c r="B20" s="16">
        <f>SUM(B15:B19)</f>
        <v>11190</v>
      </c>
      <c r="C20" s="17">
        <f>SUM(C15:C19)</f>
        <v>2922700</v>
      </c>
      <c r="D20" s="18">
        <f>SUM(D15:D19)</f>
        <v>1</v>
      </c>
    </row>
    <row r="22">
      <c r="A22" s="4" t="inlineStr">
        <is>
          <t>By delivery phase</t>
        </is>
      </c>
    </row>
    <row r="23">
      <c r="A23" s="10" t="inlineStr">
        <is>
          <t>Phase</t>
        </is>
      </c>
      <c r="B23" s="10" t="inlineStr">
        <is>
          <t>Window</t>
        </is>
      </c>
      <c r="C23" s="10" t="inlineStr">
        <is>
          <t>Weeks</t>
        </is>
      </c>
      <c r="D23" s="10" t="inlineStr">
        <is>
          <t>Hours</t>
        </is>
      </c>
      <c r="E23" s="10" t="inlineStr">
        <is>
          <t>Fees (USD)</t>
        </is>
      </c>
      <c r="F23" s="10" t="inlineStr">
        <is>
          <t>Peak FTE</t>
        </is>
      </c>
    </row>
    <row r="24">
      <c r="A24" s="11" t="inlineStr">
        <is>
          <t>P0 Foundation</t>
        </is>
      </c>
      <c r="B24" s="19" t="inlineStr">
        <is>
          <t>Mo 0-3</t>
        </is>
      </c>
      <c r="C24" s="20" t="n">
        <v>13</v>
      </c>
      <c r="D24" s="12">
        <f>SUM('WBS &amp; Estimates'!L6:L22)</f>
        <v>1530</v>
      </c>
      <c r="E24" s="13">
        <f>SUMPRODUCT('WBS &amp; Estimates'!$H$6:$H$22,'WBS &amp; Estimates'!L6:L22)</f>
        <v>392040</v>
      </c>
      <c r="F24" s="21">
        <f>'Staffing Plan'!D24</f>
        <v>2.942307692</v>
      </c>
    </row>
    <row r="25">
      <c r="A25" s="11" t="inlineStr">
        <is>
          <t>P1 Pilot</t>
        </is>
      </c>
      <c r="B25" s="19" t="inlineStr">
        <is>
          <t>Mo 3-6</t>
        </is>
      </c>
      <c r="C25" s="20" t="n">
        <v>13</v>
      </c>
      <c r="D25" s="12">
        <f>SUM('WBS &amp; Estimates'!M6:M22)</f>
        <v>2170</v>
      </c>
      <c r="E25" s="13">
        <f>SUMPRODUCT('WBS &amp; Estimates'!$H$6:$H$22,'WBS &amp; Estimates'!M6:M22)</f>
        <v>606440</v>
      </c>
      <c r="F25" s="21">
        <f>'Staffing Plan'!E24</f>
        <v>4.173076923</v>
      </c>
    </row>
    <row r="26">
      <c r="A26" s="11" t="inlineStr">
        <is>
          <t>P2 Orchestration</t>
        </is>
      </c>
      <c r="B26" s="19" t="inlineStr">
        <is>
          <t>Mo 6-9</t>
        </is>
      </c>
      <c r="C26" s="20" t="n">
        <v>13</v>
      </c>
      <c r="D26" s="12">
        <f>SUM('WBS &amp; Estimates'!N6:N22)</f>
        <v>2410</v>
      </c>
      <c r="E26" s="13">
        <f>SUMPRODUCT('WBS &amp; Estimates'!$H$6:$H$22,'WBS &amp; Estimates'!N6:N22)</f>
        <v>669040</v>
      </c>
      <c r="F26" s="21">
        <f>'Staffing Plan'!F24</f>
        <v>4.634615385</v>
      </c>
    </row>
    <row r="27">
      <c r="A27" s="11" t="inlineStr">
        <is>
          <t>P3 Federation</t>
        </is>
      </c>
      <c r="B27" s="19" t="inlineStr">
        <is>
          <t>Mo 9-11</t>
        </is>
      </c>
      <c r="C27" s="20" t="n">
        <v>9</v>
      </c>
      <c r="D27" s="12">
        <f>SUM('WBS &amp; Estimates'!O6:O22)</f>
        <v>1950</v>
      </c>
      <c r="E27" s="13">
        <f>SUMPRODUCT('WBS &amp; Estimates'!$H$6:$H$22,'WBS &amp; Estimates'!O6:O22)</f>
        <v>503820</v>
      </c>
      <c r="F27" s="21">
        <f>'Staffing Plan'!G24</f>
        <v>5.416666667</v>
      </c>
    </row>
    <row r="28">
      <c r="A28" s="11" t="inlineStr">
        <is>
          <t>P4 Scale</t>
        </is>
      </c>
      <c r="B28" s="19" t="inlineStr">
        <is>
          <t>Mo 11-15</t>
        </is>
      </c>
      <c r="C28" s="20" t="n">
        <v>17</v>
      </c>
      <c r="D28" s="12">
        <f>SUM('WBS &amp; Estimates'!P6:P22)</f>
        <v>3130</v>
      </c>
      <c r="E28" s="13">
        <f>SUMPRODUCT('WBS &amp; Estimates'!$H$6:$H$22,'WBS &amp; Estimates'!P6:P22)</f>
        <v>751360</v>
      </c>
      <c r="F28" s="21">
        <f>'Staffing Plan'!H24</f>
        <v>4.602941176</v>
      </c>
    </row>
    <row r="29">
      <c r="A29" s="15" t="inlineStr">
        <is>
          <t>Total</t>
        </is>
      </c>
      <c r="B29" s="22" t="inlineStr"/>
      <c r="C29" s="23">
        <f>SUM(C24:C28)</f>
        <v>65</v>
      </c>
      <c r="D29" s="16">
        <f>SUM(D24:D28)</f>
        <v>11190</v>
      </c>
      <c r="E29" s="17">
        <f>SUM(E24:E28)</f>
        <v>2922700</v>
      </c>
      <c r="F29" s="24">
        <f>MAX(F24:F28)</f>
        <v>5.416666667</v>
      </c>
    </row>
    <row r="31">
      <c r="A31" s="4" t="inlineStr">
        <is>
          <t>Key assumptions &amp; grounding</t>
        </is>
      </c>
    </row>
    <row r="32">
      <c r="A32" s="25" t="inlineStr">
        <is>
          <t>• Estimate model, role taxonomy, rate basis (Americas List Rate), 7% risk reserve and 3% reimbursable expenses follow the attached FY25 IS template (WBS_Estimates_Staffing.xlsx, sheets 'V7-1 usecase' / 'v13 with RR').</t>
        </is>
      </c>
    </row>
    <row r="33">
      <c r="A33" s="25" t="inlineStr">
        <is>
          <t>• Phases map 1:1 to UC1-Solution-Implementation-Plan.md: P0 Foundation, P1 Pilot, P2 Orchestration, P3 Federation, P4 Scale (~15 months).</t>
        </is>
      </c>
    </row>
    <row r="34">
      <c r="A34" s="25" t="inlineStr">
        <is>
          <t>• Hours are a bottom-up planning estimate (blue inputs) and must be validated with the customer (cf. deck slide 6, 'Assumptions vs Facts vs Must-Validate').</t>
        </is>
      </c>
    </row>
    <row r="35">
      <c r="A35" s="25" t="inlineStr">
        <is>
          <t>• Heavy offshore (GD Offshore @ $90) mix lowers blended rate; OCTO data-science &amp; PG (CAPE) support assumed no-charge per template and excluded from fees.</t>
        </is>
      </c>
    </row>
    <row r="36">
      <c r="A36" s="25" t="inlineStr">
        <is>
          <t>• Excludes Azure consumption (HPC/Batch/Quantum Elements/Foundry), partner-model licensing (Gemini/Protillion/Variational) and Merck internal labour.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8" customWidth="1" min="3" max="3"/>
  </cols>
  <sheetData>
    <row r="1">
      <c r="A1" s="26" t="inlineStr">
        <is>
          <t>UC1 Rate Card — Americas List Rates (extract)</t>
        </is>
      </c>
    </row>
    <row r="2">
      <c r="A2" s="3" t="inlineStr">
        <is>
          <t>Source: FY25 IS Rate Card (attached WBS_Estimates_Staffing.xlsx → 'Ratecard', Americas List Rate, col K). Release 07/16/2024.</t>
        </is>
      </c>
    </row>
    <row r="4">
      <c r="A4" s="10" t="inlineStr">
        <is>
          <t>Resource Title</t>
        </is>
      </c>
      <c r="B4" s="10" t="inlineStr">
        <is>
          <t>Service Line</t>
        </is>
      </c>
      <c r="C4" s="10" t="inlineStr">
        <is>
          <t>List Rate (USD/hr)</t>
        </is>
      </c>
    </row>
    <row r="5">
      <c r="A5" s="11" t="inlineStr">
        <is>
          <t>Delivery Management Executive</t>
        </is>
      </c>
      <c r="B5" s="11" t="inlineStr">
        <is>
          <t>Program Director</t>
        </is>
      </c>
      <c r="C5" s="27" t="n">
        <v>460</v>
      </c>
    </row>
    <row r="6">
      <c r="A6" s="11" t="inlineStr">
        <is>
          <t>Senior Project Manager</t>
        </is>
      </c>
      <c r="B6" s="11" t="inlineStr">
        <is>
          <t>Project Management</t>
        </is>
      </c>
      <c r="C6" s="27" t="n">
        <v>370</v>
      </c>
    </row>
    <row r="7">
      <c r="A7" s="11" t="inlineStr">
        <is>
          <t>Domain Solution Architect</t>
        </is>
      </c>
      <c r="B7" s="11" t="inlineStr">
        <is>
          <t>Delivery Consulting</t>
        </is>
      </c>
      <c r="C7" s="27" t="n">
        <v>405</v>
      </c>
    </row>
    <row r="8">
      <c r="A8" s="11" t="inlineStr">
        <is>
          <t>Senior Domain Solution Architect</t>
        </is>
      </c>
      <c r="B8" s="11" t="inlineStr">
        <is>
          <t>Delivery Consulting</t>
        </is>
      </c>
      <c r="C8" s="27" t="n">
        <v>475</v>
      </c>
    </row>
    <row r="9">
      <c r="A9" s="11" t="inlineStr">
        <is>
          <t>Consulting Product Manager</t>
        </is>
      </c>
      <c r="B9" s="11" t="inlineStr">
        <is>
          <t>Delivery Consulting</t>
        </is>
      </c>
      <c r="C9" s="27" t="n">
        <v>355</v>
      </c>
    </row>
    <row r="10">
      <c r="A10" s="11" t="inlineStr">
        <is>
          <t>Senior Consultant</t>
        </is>
      </c>
      <c r="B10" s="11" t="inlineStr">
        <is>
          <t>Delivery Consulting</t>
        </is>
      </c>
      <c r="C10" s="27" t="n">
        <v>365</v>
      </c>
    </row>
    <row r="11">
      <c r="A11" s="11" t="inlineStr">
        <is>
          <t>Senior Data Scientist</t>
        </is>
      </c>
      <c r="B11" s="11" t="inlineStr">
        <is>
          <t>Delivery Consulting</t>
        </is>
      </c>
      <c r="C11" s="27" t="n">
        <v>400</v>
      </c>
    </row>
    <row r="12">
      <c r="A12" s="11" t="inlineStr">
        <is>
          <t>Principal Data Scientist</t>
        </is>
      </c>
      <c r="B12" s="11" t="inlineStr">
        <is>
          <t>Delivery Consulting</t>
        </is>
      </c>
      <c r="C12" s="27" t="n">
        <v>500</v>
      </c>
    </row>
    <row r="13">
      <c r="A13" s="11" t="inlineStr">
        <is>
          <t>Security Architect</t>
        </is>
      </c>
      <c r="B13" s="11" t="inlineStr">
        <is>
          <t>Security</t>
        </is>
      </c>
      <c r="C13" s="27" t="n">
        <v>445</v>
      </c>
    </row>
    <row r="14">
      <c r="A14" s="11" t="inlineStr">
        <is>
          <t>GD Offshore</t>
        </is>
      </c>
      <c r="B14" s="11" t="inlineStr">
        <is>
          <t>Global Delivery (offshore)</t>
        </is>
      </c>
      <c r="C14" s="27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46" customWidth="1" min="3" max="3"/>
    <col width="10" customWidth="1" min="4" max="4"/>
    <col width="30" customWidth="1" min="5" max="5"/>
    <col width="30" customWidth="1" min="6" max="6"/>
    <col width="20" customWidth="1" min="7" max="7"/>
    <col width="13" customWidth="1" min="8" max="8"/>
    <col width="15" customWidth="1" min="9" max="9"/>
    <col width="11" customWidth="1" min="10" max="10"/>
    <col width="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26" t="inlineStr">
        <is>
          <t>UC1 — Multi-Step Discovery Orchestration · WBS &amp; Estimates</t>
        </is>
      </c>
    </row>
    <row r="2">
      <c r="A2" s="3" t="inlineStr">
        <is>
          <t>Effort estimate by workstream, role and delivery phase. Hours are inputs (blue); rates link to the Rate Card (green); fees &amp; totals are formulas (black). Currency: USD.</t>
        </is>
      </c>
    </row>
    <row r="4">
      <c r="A4" s="10" t="inlineStr">
        <is>
          <t>#</t>
        </is>
      </c>
      <c r="B4" s="10" t="inlineStr">
        <is>
          <t>Workstream</t>
        </is>
      </c>
      <c r="C4" s="10" t="inlineStr">
        <is>
          <t>Activity / Deliverable</t>
        </is>
      </c>
      <c r="D4" s="10" t="inlineStr">
        <is>
          <t>Team</t>
        </is>
      </c>
      <c r="E4" s="10" t="inlineStr">
        <is>
          <t>Project Role</t>
        </is>
      </c>
      <c r="F4" s="10" t="inlineStr">
        <is>
          <t>Resource Title</t>
        </is>
      </c>
      <c r="G4" s="10" t="inlineStr">
        <is>
          <t>Service</t>
        </is>
      </c>
      <c r="H4" s="10" t="inlineStr">
        <is>
          <t>List Rate (USD)</t>
        </is>
      </c>
      <c r="I4" s="10" t="inlineStr">
        <is>
          <t>Revenue (USD)</t>
        </is>
      </c>
      <c r="J4" s="10" t="inlineStr">
        <is>
          <t>Total Hours</t>
        </is>
      </c>
      <c r="K4" s="10" t="inlineStr">
        <is>
          <t>% Hours</t>
        </is>
      </c>
      <c r="L4" s="10" t="inlineStr">
        <is>
          <t>P0 Foundation</t>
        </is>
      </c>
      <c r="M4" s="10" t="inlineStr">
        <is>
          <t>P1 Pilot</t>
        </is>
      </c>
      <c r="N4" s="10" t="inlineStr">
        <is>
          <t>P2 Orchestration</t>
        </is>
      </c>
      <c r="O4" s="10" t="inlineStr">
        <is>
          <t>P3 Federation</t>
        </is>
      </c>
      <c r="P4" s="10" t="inlineStr">
        <is>
          <t>P4 Scale</t>
        </is>
      </c>
    </row>
    <row r="5">
      <c r="A5" s="28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29" t="inlineStr">
        <is>
          <t>Mo 0-3</t>
        </is>
      </c>
      <c r="M5" s="29" t="inlineStr">
        <is>
          <t>Mo 3-6</t>
        </is>
      </c>
      <c r="N5" s="29" t="inlineStr">
        <is>
          <t>Mo 6-9</t>
        </is>
      </c>
      <c r="O5" s="29" t="inlineStr">
        <is>
          <t>Mo 9-11</t>
        </is>
      </c>
      <c r="P5" s="29" t="inlineStr">
        <is>
          <t>Mo 11-15</t>
        </is>
      </c>
    </row>
    <row r="6">
      <c r="A6" s="19" t="n">
        <v>1</v>
      </c>
      <c r="B6" s="30" t="inlineStr">
        <is>
          <t>1. Governance &amp; Program Mgmt</t>
        </is>
      </c>
      <c r="C6" s="30" t="inlineStr">
        <is>
          <t>Engagement governance, gates G0-G4, status &amp; risk</t>
        </is>
      </c>
      <c r="D6" s="19" t="inlineStr">
        <is>
          <t>Onshore</t>
        </is>
      </c>
      <c r="E6" s="30" t="inlineStr">
        <is>
          <t>Delivery Management Exec</t>
        </is>
      </c>
      <c r="F6" s="30" t="inlineStr">
        <is>
          <t>Delivery Management Executive</t>
        </is>
      </c>
      <c r="G6" s="11" t="inlineStr">
        <is>
          <t>Program Director</t>
        </is>
      </c>
      <c r="H6" s="7">
        <f>VLOOKUP(F6,'Rate Card (Americas)'!$A:$C,3,FALSE)</f>
        <v>460</v>
      </c>
      <c r="I6" s="13">
        <f>H6*J6</f>
        <v>59800</v>
      </c>
      <c r="J6" s="12">
        <f>SUM(L6:P6)</f>
        <v>130</v>
      </c>
      <c r="K6" s="14">
        <f>IF($J$23=0,0,J6/$J$23)</f>
        <v>0.01161751564</v>
      </c>
      <c r="L6" s="31" t="n">
        <v>26</v>
      </c>
      <c r="M6" s="31" t="n">
        <v>26</v>
      </c>
      <c r="N6" s="31" t="n">
        <v>26</v>
      </c>
      <c r="O6" s="31" t="n">
        <v>18</v>
      </c>
      <c r="P6" s="31" t="n">
        <v>34</v>
      </c>
    </row>
    <row r="7">
      <c r="A7" s="19" t="n">
        <v>2</v>
      </c>
      <c r="B7" s="30" t="inlineStr">
        <is>
          <t>1. Governance &amp; Program Mgmt</t>
        </is>
      </c>
      <c r="C7" s="30" t="inlineStr">
        <is>
          <t>Planning, sprint cadence, RAID, stakeholder mgmt</t>
        </is>
      </c>
      <c r="D7" s="19" t="inlineStr">
        <is>
          <t>Onshore</t>
        </is>
      </c>
      <c r="E7" s="30" t="inlineStr">
        <is>
          <t>Engagement / Project Manager</t>
        </is>
      </c>
      <c r="F7" s="30" t="inlineStr">
        <is>
          <t>Senior Project Manager</t>
        </is>
      </c>
      <c r="G7" s="11" t="inlineStr">
        <is>
          <t>Project Management</t>
        </is>
      </c>
      <c r="H7" s="7">
        <f>VLOOKUP(F7,'Rate Card (Americas)'!$A:$C,3,FALSE)</f>
        <v>370</v>
      </c>
      <c r="I7" s="13">
        <f>H7*J7</f>
        <v>192400</v>
      </c>
      <c r="J7" s="12">
        <f>SUM(L7:P7)</f>
        <v>520</v>
      </c>
      <c r="K7" s="14">
        <f>IF($J$23=0,0,J7/$J$23)</f>
        <v>0.04647006256</v>
      </c>
      <c r="L7" s="31" t="n">
        <v>104</v>
      </c>
      <c r="M7" s="31" t="n">
        <v>104</v>
      </c>
      <c r="N7" s="31" t="n">
        <v>104</v>
      </c>
      <c r="O7" s="31" t="n">
        <v>72</v>
      </c>
      <c r="P7" s="31" t="n">
        <v>136</v>
      </c>
    </row>
    <row r="8">
      <c r="A8" s="19" t="n">
        <v>3</v>
      </c>
      <c r="B8" s="30" t="inlineStr">
        <is>
          <t>1. Governance &amp; Program Mgmt</t>
        </is>
      </c>
      <c r="C8" s="30" t="inlineStr">
        <is>
          <t>PMO support, reporting, logistics</t>
        </is>
      </c>
      <c r="D8" s="19" t="inlineStr">
        <is>
          <t>Offshore</t>
        </is>
      </c>
      <c r="E8" s="30" t="inlineStr">
        <is>
          <t>Offshore Project Manager</t>
        </is>
      </c>
      <c r="F8" s="30" t="inlineStr">
        <is>
          <t>GD Offshore</t>
        </is>
      </c>
      <c r="G8" s="11" t="inlineStr">
        <is>
          <t>Project Management</t>
        </is>
      </c>
      <c r="H8" s="7">
        <f>VLOOKUP(F8,'Rate Card (Americas)'!$A:$C,3,FALSE)</f>
        <v>90</v>
      </c>
      <c r="I8" s="13">
        <f>H8*J8</f>
        <v>36000</v>
      </c>
      <c r="J8" s="12">
        <f>SUM(L8:P8)</f>
        <v>400</v>
      </c>
      <c r="K8" s="14">
        <f>IF($J$23=0,0,J8/$J$23)</f>
        <v>0.03574620197</v>
      </c>
      <c r="L8" s="31" t="n">
        <v>80</v>
      </c>
      <c r="M8" s="31" t="n">
        <v>80</v>
      </c>
      <c r="N8" s="31" t="n">
        <v>80</v>
      </c>
      <c r="O8" s="31" t="n">
        <v>40</v>
      </c>
      <c r="P8" s="31" t="n">
        <v>120</v>
      </c>
    </row>
    <row r="9">
      <c r="A9" s="19" t="n">
        <v>4</v>
      </c>
      <c r="B9" s="30" t="inlineStr">
        <is>
          <t>2. Security &amp; Compliance</t>
        </is>
      </c>
      <c r="C9" s="30" t="inlineStr">
        <is>
          <t>Annex 22 / Part 11 / ALCOA+ control design; HITL four-eyes</t>
        </is>
      </c>
      <c r="D9" s="19" t="inlineStr">
        <is>
          <t>Onshore</t>
        </is>
      </c>
      <c r="E9" s="30" t="inlineStr">
        <is>
          <t>Security &amp; Compliance Architect</t>
        </is>
      </c>
      <c r="F9" s="30" t="inlineStr">
        <is>
          <t>Security Architect</t>
        </is>
      </c>
      <c r="G9" s="11" t="inlineStr">
        <is>
          <t>Security</t>
        </is>
      </c>
      <c r="H9" s="7">
        <f>VLOOKUP(F9,'Rate Card (Americas)'!$A:$C,3,FALSE)</f>
        <v>445</v>
      </c>
      <c r="I9" s="13">
        <f>H9*J9</f>
        <v>231400</v>
      </c>
      <c r="J9" s="12">
        <f>SUM(L9:P9)</f>
        <v>520</v>
      </c>
      <c r="K9" s="14">
        <f>IF($J$23=0,0,J9/$J$23)</f>
        <v>0.04647006256</v>
      </c>
      <c r="L9" s="31" t="n">
        <v>160</v>
      </c>
      <c r="M9" s="31" t="n">
        <v>120</v>
      </c>
      <c r="N9" s="31" t="n">
        <v>80</v>
      </c>
      <c r="O9" s="31" t="n">
        <v>80</v>
      </c>
      <c r="P9" s="31" t="n">
        <v>80</v>
      </c>
    </row>
    <row r="10">
      <c r="A10" s="19" t="n">
        <v>5</v>
      </c>
      <c r="B10" s="30" t="inlineStr">
        <is>
          <t>2. Security &amp; Compliance</t>
        </is>
      </c>
      <c r="C10" s="30" t="inlineStr">
        <is>
          <t>Validation evidence, audit-trail config, perf-equivalence</t>
        </is>
      </c>
      <c r="D10" s="19" t="inlineStr">
        <is>
          <t>Offshore</t>
        </is>
      </c>
      <c r="E10" s="30" t="inlineStr">
        <is>
          <t>Compliance / Validation Consultant</t>
        </is>
      </c>
      <c r="F10" s="30" t="inlineStr">
        <is>
          <t>GD Offshore</t>
        </is>
      </c>
      <c r="G10" s="11" t="inlineStr">
        <is>
          <t>Security</t>
        </is>
      </c>
      <c r="H10" s="7">
        <f>VLOOKUP(F10,'Rate Card (Americas)'!$A:$C,3,FALSE)</f>
        <v>90</v>
      </c>
      <c r="I10" s="13">
        <f>H10*J10</f>
        <v>46800</v>
      </c>
      <c r="J10" s="12">
        <f>SUM(L10:P10)</f>
        <v>520</v>
      </c>
      <c r="K10" s="14">
        <f>IF($J$23=0,0,J10/$J$23)</f>
        <v>0.04647006256</v>
      </c>
      <c r="L10" s="31" t="n">
        <v>120</v>
      </c>
      <c r="M10" s="31" t="n">
        <v>120</v>
      </c>
      <c r="N10" s="31" t="n">
        <v>80</v>
      </c>
      <c r="O10" s="31" t="n">
        <v>80</v>
      </c>
      <c r="P10" s="31" t="n">
        <v>120</v>
      </c>
    </row>
    <row r="11">
      <c r="A11" s="19" t="n">
        <v>6</v>
      </c>
      <c r="B11" s="30" t="inlineStr">
        <is>
          <t>3. Data Foundation</t>
        </is>
      </c>
      <c r="C11" s="30" t="inlineStr">
        <is>
          <t>Fabric/OneLake shortcuts (S3+GCS), AHDS, AI Search, Purview lineage</t>
        </is>
      </c>
      <c r="D11" s="19" t="inlineStr">
        <is>
          <t>Onshore</t>
        </is>
      </c>
      <c r="E11" s="30" t="inlineStr">
        <is>
          <t>Data &amp; AI Architect</t>
        </is>
      </c>
      <c r="F11" s="30" t="inlineStr">
        <is>
          <t>Domain Solution Architect</t>
        </is>
      </c>
      <c r="G11" s="11" t="inlineStr">
        <is>
          <t>Delivery Consulting</t>
        </is>
      </c>
      <c r="H11" s="7">
        <f>VLOOKUP(F11,'Rate Card (Americas)'!$A:$C,3,FALSE)</f>
        <v>405</v>
      </c>
      <c r="I11" s="13">
        <f>H11*J11</f>
        <v>186300</v>
      </c>
      <c r="J11" s="12">
        <f>SUM(L11:P11)</f>
        <v>460</v>
      </c>
      <c r="K11" s="14">
        <f>IF($J$23=0,0,J11/$J$23)</f>
        <v>0.04110813226</v>
      </c>
      <c r="L11" s="31" t="n">
        <v>160</v>
      </c>
      <c r="M11" s="31" t="n">
        <v>80</v>
      </c>
      <c r="N11" s="31" t="n">
        <v>80</v>
      </c>
      <c r="O11" s="31" t="n">
        <v>60</v>
      </c>
      <c r="P11" s="31" t="n">
        <v>80</v>
      </c>
    </row>
    <row r="12">
      <c r="A12" s="19" t="n">
        <v>7</v>
      </c>
      <c r="B12" s="30" t="inlineStr">
        <is>
          <t>3. Data Foundation</t>
        </is>
      </c>
      <c r="C12" s="30" t="inlineStr">
        <is>
          <t>Data pipelines, indexing, lineage instrumentation</t>
        </is>
      </c>
      <c r="D12" s="19" t="inlineStr">
        <is>
          <t>Onshore</t>
        </is>
      </c>
      <c r="E12" s="30" t="inlineStr">
        <is>
          <t>Data &amp; AI Engineer</t>
        </is>
      </c>
      <c r="F12" s="30" t="inlineStr">
        <is>
          <t>Senior Consultant</t>
        </is>
      </c>
      <c r="G12" s="11" t="inlineStr">
        <is>
          <t>Delivery Consulting</t>
        </is>
      </c>
      <c r="H12" s="7">
        <f>VLOOKUP(F12,'Rate Card (Americas)'!$A:$C,3,FALSE)</f>
        <v>365</v>
      </c>
      <c r="I12" s="13">
        <f>H12*J12</f>
        <v>292000</v>
      </c>
      <c r="J12" s="12">
        <f>SUM(L12:P12)</f>
        <v>800</v>
      </c>
      <c r="K12" s="14">
        <f>IF($J$23=0,0,J12/$J$23)</f>
        <v>0.07149240393</v>
      </c>
      <c r="L12" s="31" t="n">
        <v>240</v>
      </c>
      <c r="M12" s="31" t="n">
        <v>160</v>
      </c>
      <c r="N12" s="31" t="n">
        <v>120</v>
      </c>
      <c r="O12" s="31" t="n">
        <v>120</v>
      </c>
      <c r="P12" s="31" t="n">
        <v>160</v>
      </c>
    </row>
    <row r="13">
      <c r="A13" s="19" t="n">
        <v>8</v>
      </c>
      <c r="B13" s="30" t="inlineStr">
        <is>
          <t>3. Data Foundation</t>
        </is>
      </c>
      <c r="C13" s="30" t="inlineStr">
        <is>
          <t>Build/operate data foundation (offshore)</t>
        </is>
      </c>
      <c r="D13" s="19" t="inlineStr">
        <is>
          <t>Offshore</t>
        </is>
      </c>
      <c r="E13" s="30" t="inlineStr">
        <is>
          <t>Data &amp; AI Engineer (offshore)</t>
        </is>
      </c>
      <c r="F13" s="30" t="inlineStr">
        <is>
          <t>GD Offshore</t>
        </is>
      </c>
      <c r="G13" s="11" t="inlineStr">
        <is>
          <t>Delivery Consulting</t>
        </is>
      </c>
      <c r="H13" s="7">
        <f>VLOOKUP(F13,'Rate Card (Americas)'!$A:$C,3,FALSE)</f>
        <v>90</v>
      </c>
      <c r="I13" s="13">
        <f>H13*J13</f>
        <v>100800</v>
      </c>
      <c r="J13" s="12">
        <f>SUM(L13:P13)</f>
        <v>1120</v>
      </c>
      <c r="K13" s="14">
        <f>IF($J$23=0,0,J13/$J$23)</f>
        <v>0.1000893655</v>
      </c>
      <c r="L13" s="31" t="n">
        <v>320</v>
      </c>
      <c r="M13" s="31" t="n">
        <v>240</v>
      </c>
      <c r="N13" s="31" t="n">
        <v>160</v>
      </c>
      <c r="O13" s="31" t="n">
        <v>160</v>
      </c>
      <c r="P13" s="31" t="n">
        <v>240</v>
      </c>
    </row>
    <row r="14">
      <c r="A14" s="19" t="n">
        <v>9</v>
      </c>
      <c r="B14" s="30" t="inlineStr">
        <is>
          <t>3. Data Foundation</t>
        </is>
      </c>
      <c r="C14" s="30" t="inlineStr">
        <is>
          <t>Landing zone, networking, private endpoints (offshore)</t>
        </is>
      </c>
      <c r="D14" s="19" t="inlineStr">
        <is>
          <t>Offshore</t>
        </is>
      </c>
      <c r="E14" s="30" t="inlineStr">
        <is>
          <t>Azure Infra &amp; Networking Eng (offshore)</t>
        </is>
      </c>
      <c r="F14" s="30" t="inlineStr">
        <is>
          <t>GD Offshore</t>
        </is>
      </c>
      <c r="G14" s="11" t="inlineStr">
        <is>
          <t>Delivery Consulting</t>
        </is>
      </c>
      <c r="H14" s="7">
        <f>VLOOKUP(F14,'Rate Card (Americas)'!$A:$C,3,FALSE)</f>
        <v>90</v>
      </c>
      <c r="I14" s="13">
        <f>H14*J14</f>
        <v>50400</v>
      </c>
      <c r="J14" s="12">
        <f>SUM(L14:P14)</f>
        <v>560</v>
      </c>
      <c r="K14" s="14">
        <f>IF($J$23=0,0,J14/$J$23)</f>
        <v>0.05004468275</v>
      </c>
      <c r="L14" s="31" t="n">
        <v>200</v>
      </c>
      <c r="M14" s="31" t="n">
        <v>80</v>
      </c>
      <c r="N14" s="31" t="n">
        <v>80</v>
      </c>
      <c r="O14" s="31" t="n">
        <v>80</v>
      </c>
      <c r="P14" s="31" t="n">
        <v>120</v>
      </c>
    </row>
    <row r="15">
      <c r="A15" s="19" t="n">
        <v>10</v>
      </c>
      <c r="B15" s="30" t="inlineStr">
        <is>
          <t>4. Agentic AI Discovery UC</t>
        </is>
      </c>
      <c r="C15" s="30" t="inlineStr">
        <is>
          <t>5-agent pipeline &amp; HITL gate architecture (Foundry Agent Service)</t>
        </is>
      </c>
      <c r="D15" s="19" t="inlineStr">
        <is>
          <t>Onshore</t>
        </is>
      </c>
      <c r="E15" s="30" t="inlineStr">
        <is>
          <t>Lead Solution Architect</t>
        </is>
      </c>
      <c r="F15" s="30" t="inlineStr">
        <is>
          <t>Senior Domain Solution Architect</t>
        </is>
      </c>
      <c r="G15" s="11" t="inlineStr">
        <is>
          <t>Delivery Consulting</t>
        </is>
      </c>
      <c r="H15" s="7">
        <f>VLOOKUP(F15,'Rate Card (Americas)'!$A:$C,3,FALSE)</f>
        <v>475</v>
      </c>
      <c r="I15" s="13">
        <f>H15*J15</f>
        <v>285000</v>
      </c>
      <c r="J15" s="12">
        <f>SUM(L15:P15)</f>
        <v>600</v>
      </c>
      <c r="K15" s="14">
        <f>IF($J$23=0,0,J15/$J$23)</f>
        <v>0.05361930295</v>
      </c>
      <c r="L15" s="31" t="n">
        <v>40</v>
      </c>
      <c r="M15" s="31" t="n">
        <v>120</v>
      </c>
      <c r="N15" s="31" t="n">
        <v>160</v>
      </c>
      <c r="O15" s="31" t="n">
        <v>120</v>
      </c>
      <c r="P15" s="31" t="n">
        <v>160</v>
      </c>
    </row>
    <row r="16">
      <c r="A16" s="19" t="n">
        <v>11</v>
      </c>
      <c r="B16" s="30" t="inlineStr">
        <is>
          <t>4. Agentic AI Discovery UC</t>
        </is>
      </c>
      <c r="C16" s="30" t="inlineStr">
        <is>
          <t>Use-case backlog, eval criteria, human-gate UX</t>
        </is>
      </c>
      <c r="D16" s="19" t="inlineStr">
        <is>
          <t>Onshore</t>
        </is>
      </c>
      <c r="E16" s="30" t="inlineStr">
        <is>
          <t>Product Owner</t>
        </is>
      </c>
      <c r="F16" s="30" t="inlineStr">
        <is>
          <t>Consulting Product Manager</t>
        </is>
      </c>
      <c r="G16" s="11" t="inlineStr">
        <is>
          <t>Delivery Consulting</t>
        </is>
      </c>
      <c r="H16" s="7">
        <f>VLOOKUP(F16,'Rate Card (Americas)'!$A:$C,3,FALSE)</f>
        <v>355</v>
      </c>
      <c r="I16" s="13">
        <f>H16*J16</f>
        <v>170400</v>
      </c>
      <c r="J16" s="12">
        <f>SUM(L16:P16)</f>
        <v>480</v>
      </c>
      <c r="K16" s="14">
        <f>IF($J$23=0,0,J16/$J$23)</f>
        <v>0.04289544236</v>
      </c>
      <c r="L16" s="31" t="n">
        <v>40</v>
      </c>
      <c r="M16" s="31" t="n">
        <v>120</v>
      </c>
      <c r="N16" s="31" t="n">
        <v>120</v>
      </c>
      <c r="O16" s="31" t="n">
        <v>80</v>
      </c>
      <c r="P16" s="31" t="n">
        <v>120</v>
      </c>
    </row>
    <row r="17">
      <c r="A17" s="19" t="n">
        <v>12</v>
      </c>
      <c r="B17" s="30" t="inlineStr">
        <is>
          <t>4. Agentic AI Discovery UC</t>
        </is>
      </c>
      <c r="C17" s="30" t="inlineStr">
        <is>
          <t>Model strategy: ESM/AF3/Boltz-2/RFdiffusion; triage scoring</t>
        </is>
      </c>
      <c r="D17" s="19" t="inlineStr">
        <is>
          <t>Onshore</t>
        </is>
      </c>
      <c r="E17" s="30" t="inlineStr">
        <is>
          <t>Principal Data Scientist</t>
        </is>
      </c>
      <c r="F17" s="30" t="inlineStr">
        <is>
          <t>Principal Data Scientist</t>
        </is>
      </c>
      <c r="G17" s="11" t="inlineStr">
        <is>
          <t>Delivery Consulting</t>
        </is>
      </c>
      <c r="H17" s="7">
        <f>VLOOKUP(F17,'Rate Card (Americas)'!$A:$C,3,FALSE)</f>
        <v>500</v>
      </c>
      <c r="I17" s="13">
        <f>H17*J17</f>
        <v>340000</v>
      </c>
      <c r="J17" s="12">
        <f>SUM(L17:P17)</f>
        <v>680</v>
      </c>
      <c r="K17" s="14">
        <f>IF($J$23=0,0,J17/$J$23)</f>
        <v>0.06076854334</v>
      </c>
      <c r="L17" s="31" t="n">
        <v>40</v>
      </c>
      <c r="M17" s="31" t="n">
        <v>160</v>
      </c>
      <c r="N17" s="31" t="n">
        <v>200</v>
      </c>
      <c r="O17" s="31" t="n">
        <v>120</v>
      </c>
      <c r="P17" s="31" t="n">
        <v>160</v>
      </c>
    </row>
    <row r="18">
      <c r="A18" s="19" t="n">
        <v>13</v>
      </c>
      <c r="B18" s="30" t="inlineStr">
        <is>
          <t>4. Agentic AI Discovery UC</t>
        </is>
      </c>
      <c r="C18" s="30" t="inlineStr">
        <is>
          <t>Generative design, docking, in-silico triage models</t>
        </is>
      </c>
      <c r="D18" s="19" t="inlineStr">
        <is>
          <t>Onshore</t>
        </is>
      </c>
      <c r="E18" s="30" t="inlineStr">
        <is>
          <t>Senior Data Scientist</t>
        </is>
      </c>
      <c r="F18" s="30" t="inlineStr">
        <is>
          <t>Senior Data Scientist</t>
        </is>
      </c>
      <c r="G18" s="11" t="inlineStr">
        <is>
          <t>Delivery Consulting</t>
        </is>
      </c>
      <c r="H18" s="7">
        <f>VLOOKUP(F18,'Rate Card (Americas)'!$A:$C,3,FALSE)</f>
        <v>400</v>
      </c>
      <c r="I18" s="13">
        <f>H18*J18</f>
        <v>336000</v>
      </c>
      <c r="J18" s="12">
        <f>SUM(L18:P18)</f>
        <v>840</v>
      </c>
      <c r="K18" s="14">
        <f>IF($J$23=0,0,J18/$J$23)</f>
        <v>0.07506702413</v>
      </c>
      <c r="L18" s="31" t="n">
        <v>0</v>
      </c>
      <c r="M18" s="31" t="n">
        <v>200</v>
      </c>
      <c r="N18" s="31" t="n">
        <v>240</v>
      </c>
      <c r="O18" s="31" t="n">
        <v>160</v>
      </c>
      <c r="P18" s="31" t="n">
        <v>240</v>
      </c>
    </row>
    <row r="19">
      <c r="A19" s="19" t="n">
        <v>14</v>
      </c>
      <c r="B19" s="30" t="inlineStr">
        <is>
          <t>4. Agentic AI Discovery UC</t>
        </is>
      </c>
      <c r="C19" s="30" t="inlineStr">
        <is>
          <t>Agent orchestration, A2A/MCP, custom tools &amp; endpoints</t>
        </is>
      </c>
      <c r="D19" s="19" t="inlineStr">
        <is>
          <t>Onshore</t>
        </is>
      </c>
      <c r="E19" s="30" t="inlineStr">
        <is>
          <t>Data &amp; AI Engineer (agents)</t>
        </is>
      </c>
      <c r="F19" s="30" t="inlineStr">
        <is>
          <t>Senior Consultant</t>
        </is>
      </c>
      <c r="G19" s="11" t="inlineStr">
        <is>
          <t>Delivery Consulting</t>
        </is>
      </c>
      <c r="H19" s="7">
        <f>VLOOKUP(F19,'Rate Card (Americas)'!$A:$C,3,FALSE)</f>
        <v>365</v>
      </c>
      <c r="I19" s="13">
        <f>H19*J19</f>
        <v>365000</v>
      </c>
      <c r="J19" s="12">
        <f>SUM(L19:P19)</f>
        <v>1000</v>
      </c>
      <c r="K19" s="14">
        <f>IF($J$23=0,0,J19/$J$23)</f>
        <v>0.08936550492</v>
      </c>
      <c r="L19" s="31" t="n">
        <v>0</v>
      </c>
      <c r="M19" s="31" t="n">
        <v>200</v>
      </c>
      <c r="N19" s="31" t="n">
        <v>280</v>
      </c>
      <c r="O19" s="31" t="n">
        <v>200</v>
      </c>
      <c r="P19" s="31" t="n">
        <v>320</v>
      </c>
    </row>
    <row r="20">
      <c r="A20" s="19" t="n">
        <v>15</v>
      </c>
      <c r="B20" s="30" t="inlineStr">
        <is>
          <t>4. Agentic AI Discovery UC</t>
        </is>
      </c>
      <c r="C20" s="30" t="inlineStr">
        <is>
          <t>Agent build &amp; integration (offshore)</t>
        </is>
      </c>
      <c r="D20" s="19" t="inlineStr">
        <is>
          <t>Offshore</t>
        </is>
      </c>
      <c r="E20" s="30" t="inlineStr">
        <is>
          <t>Data &amp; AI Engineer (offshore, agents)</t>
        </is>
      </c>
      <c r="F20" s="30" t="inlineStr">
        <is>
          <t>GD Offshore</t>
        </is>
      </c>
      <c r="G20" s="11" t="inlineStr">
        <is>
          <t>Delivery Consulting</t>
        </is>
      </c>
      <c r="H20" s="7">
        <f>VLOOKUP(F20,'Rate Card (Americas)'!$A:$C,3,FALSE)</f>
        <v>90</v>
      </c>
      <c r="I20" s="13">
        <f>H20*J20</f>
        <v>122400</v>
      </c>
      <c r="J20" s="12">
        <f>SUM(L20:P20)</f>
        <v>1360</v>
      </c>
      <c r="K20" s="14">
        <f>IF($J$23=0,0,J20/$J$23)</f>
        <v>0.1215370867</v>
      </c>
      <c r="L20" s="31" t="n">
        <v>0</v>
      </c>
      <c r="M20" s="31" t="n">
        <v>240</v>
      </c>
      <c r="N20" s="31" t="n">
        <v>360</v>
      </c>
      <c r="O20" s="31" t="n">
        <v>280</v>
      </c>
      <c r="P20" s="31" t="n">
        <v>480</v>
      </c>
    </row>
    <row r="21">
      <c r="A21" s="19" t="n">
        <v>16</v>
      </c>
      <c r="B21" s="30" t="inlineStr">
        <is>
          <t>4. Agentic AI Discovery UC</t>
        </is>
      </c>
      <c r="C21" s="30" t="inlineStr">
        <is>
          <t>Automated evaluation framework &amp; regression testing</t>
        </is>
      </c>
      <c r="D21" s="19" t="inlineStr">
        <is>
          <t>Offshore</t>
        </is>
      </c>
      <c r="E21" s="30" t="inlineStr">
        <is>
          <t>Eval / Test Consultant (offshore)</t>
        </is>
      </c>
      <c r="F21" s="30" t="inlineStr">
        <is>
          <t>GD Offshore</t>
        </is>
      </c>
      <c r="G21" s="11" t="inlineStr">
        <is>
          <t>Delivery Consulting</t>
        </is>
      </c>
      <c r="H21" s="7">
        <f>VLOOKUP(F21,'Rate Card (Americas)'!$A:$C,3,FALSE)</f>
        <v>90</v>
      </c>
      <c r="I21" s="13">
        <f>H21*J21</f>
        <v>57600</v>
      </c>
      <c r="J21" s="12">
        <f>SUM(L21:P21)</f>
        <v>640</v>
      </c>
      <c r="K21" s="14">
        <f>IF($J$23=0,0,J21/$J$23)</f>
        <v>0.05719392315</v>
      </c>
      <c r="L21" s="31" t="n">
        <v>0</v>
      </c>
      <c r="M21" s="31" t="n">
        <v>80</v>
      </c>
      <c r="N21" s="31" t="n">
        <v>160</v>
      </c>
      <c r="O21" s="31" t="n">
        <v>160</v>
      </c>
      <c r="P21" s="31" t="n">
        <v>240</v>
      </c>
    </row>
    <row r="22">
      <c r="A22" s="19" t="n">
        <v>17</v>
      </c>
      <c r="B22" s="30" t="inlineStr">
        <is>
          <t>5. SecureByDefault &amp; Ops</t>
        </is>
      </c>
      <c r="C22" s="30" t="inlineStr">
        <is>
          <t>Secure-by-default hardening, run-book, portfolio scale ops</t>
        </is>
      </c>
      <c r="D22" s="19" t="inlineStr">
        <is>
          <t>Offshore</t>
        </is>
      </c>
      <c r="E22" s="30" t="inlineStr">
        <is>
          <t>SbD / Platform Ops (offshore)</t>
        </is>
      </c>
      <c r="F22" s="30" t="inlineStr">
        <is>
          <t>GD Offshore</t>
        </is>
      </c>
      <c r="G22" s="11" t="inlineStr">
        <is>
          <t>SbD</t>
        </is>
      </c>
      <c r="H22" s="7">
        <f>VLOOKUP(F22,'Rate Card (Americas)'!$A:$C,3,FALSE)</f>
        <v>90</v>
      </c>
      <c r="I22" s="13">
        <f>H22*J22</f>
        <v>50400</v>
      </c>
      <c r="J22" s="12">
        <f>SUM(L22:P22)</f>
        <v>560</v>
      </c>
      <c r="K22" s="14">
        <f>IF($J$23=0,0,J22/$J$23)</f>
        <v>0.05004468275</v>
      </c>
      <c r="L22" s="31" t="n">
        <v>0</v>
      </c>
      <c r="M22" s="31" t="n">
        <v>40</v>
      </c>
      <c r="N22" s="31" t="n">
        <v>80</v>
      </c>
      <c r="O22" s="31" t="n">
        <v>120</v>
      </c>
      <c r="P22" s="31" t="n">
        <v>320</v>
      </c>
    </row>
    <row r="23">
      <c r="A23" s="11" t="inlineStr"/>
      <c r="B23" s="15" t="inlineStr">
        <is>
          <t>TOTAL — Professional Fees</t>
        </is>
      </c>
      <c r="C23" s="22" t="inlineStr"/>
      <c r="D23" s="22" t="inlineStr"/>
      <c r="E23" s="22" t="inlineStr"/>
      <c r="F23" s="22" t="inlineStr"/>
      <c r="G23" s="22" t="inlineStr"/>
      <c r="H23" s="22" t="inlineStr"/>
      <c r="I23" s="17">
        <f>SUM(I6:I22)</f>
        <v>2922700</v>
      </c>
      <c r="J23" s="16">
        <f>SUM(J6:J22)</f>
        <v>11190</v>
      </c>
      <c r="K23" s="18">
        <f>SUM(K6:K22)</f>
        <v>1</v>
      </c>
      <c r="L23" s="16">
        <f>SUM(L6:L22)</f>
        <v>1530</v>
      </c>
      <c r="M23" s="16">
        <f>SUM(M6:M22)</f>
        <v>2170</v>
      </c>
      <c r="N23" s="16">
        <f>SUM(N6:N22)</f>
        <v>2410</v>
      </c>
      <c r="O23" s="16">
        <f>SUM(O6:O22)</f>
        <v>1950</v>
      </c>
      <c r="P23" s="16">
        <f>SUM(P6:P22)</f>
        <v>3130</v>
      </c>
    </row>
    <row r="25">
      <c r="H25" s="32" t="inlineStr">
        <is>
          <t>Build-up to Total Investment</t>
        </is>
      </c>
    </row>
    <row r="26">
      <c r="H26" s="33" t="inlineStr">
        <is>
          <t>Professional fees (subtotal)</t>
        </is>
      </c>
      <c r="I26" s="34">
        <f>I23</f>
        <v>2922700</v>
      </c>
    </row>
    <row r="27">
      <c r="H27" s="35" t="inlineStr">
        <is>
          <t>Risk reserve %</t>
        </is>
      </c>
      <c r="I27" s="36" t="n">
        <v>0.07000000000000001</v>
      </c>
      <c r="K27" s="37" t="inlineStr">
        <is>
          <t>Input (template default 7%)</t>
        </is>
      </c>
    </row>
    <row r="28">
      <c r="H28" s="35" t="inlineStr">
        <is>
          <t>Reimbursable expenses %</t>
        </is>
      </c>
      <c r="I28" s="36" t="n">
        <v>0.03</v>
      </c>
      <c r="K28" s="37" t="inlineStr">
        <is>
          <t>Input (template default 3%)</t>
        </is>
      </c>
    </row>
    <row r="29">
      <c r="H29" s="35" t="inlineStr">
        <is>
          <t>+ Risk reserve</t>
        </is>
      </c>
      <c r="I29" s="13">
        <f>I23*I27</f>
        <v>204589</v>
      </c>
    </row>
    <row r="30">
      <c r="H30" s="35" t="inlineStr">
        <is>
          <t>+ Reimbursable (travel) expenses</t>
        </is>
      </c>
      <c r="I30" s="13">
        <f>I23*I28</f>
        <v>87681</v>
      </c>
    </row>
    <row r="31">
      <c r="H31" s="33" t="inlineStr">
        <is>
          <t>TOTAL INVESTMENT (sell)</t>
        </is>
      </c>
      <c r="I31" s="17">
        <f>I23*(1+I27+I28)</f>
        <v>3214970</v>
      </c>
    </row>
    <row r="32">
      <c r="H32" s="35" t="inlineStr">
        <is>
          <t>Blended rate (USD/hr)</t>
        </is>
      </c>
      <c r="I32" s="13">
        <f>I23/J23</f>
        <v>261.1885612</v>
      </c>
    </row>
    <row r="34">
      <c r="B34" s="4" t="inlineStr">
        <is>
          <t>Workstream rollup</t>
        </is>
      </c>
    </row>
    <row r="35">
      <c r="B35" s="10" t="inlineStr">
        <is>
          <t>Workstream</t>
        </is>
      </c>
      <c r="I35" s="10" t="inlineStr">
        <is>
          <t>Revenue (USD)</t>
        </is>
      </c>
      <c r="J35" s="10" t="inlineStr">
        <is>
          <t>Total Hours</t>
        </is>
      </c>
      <c r="K35" s="10" t="inlineStr">
        <is>
          <t>% Fees</t>
        </is>
      </c>
    </row>
    <row r="36">
      <c r="B36" s="11" t="inlineStr">
        <is>
          <t>1. Governance &amp; Program Mgmt</t>
        </is>
      </c>
      <c r="I36" s="13">
        <f>SUM(I6:I8)</f>
        <v>288200</v>
      </c>
      <c r="J36" s="12">
        <f>SUM(J6:J8)</f>
        <v>1050</v>
      </c>
      <c r="K36" s="14">
        <f>I36/$I$23</f>
        <v>0.09860745201</v>
      </c>
    </row>
    <row r="37">
      <c r="B37" s="11" t="inlineStr">
        <is>
          <t>2. Security &amp; Compliance</t>
        </is>
      </c>
      <c r="I37" s="13">
        <f>SUM(I9:I10)</f>
        <v>278200</v>
      </c>
      <c r="J37" s="12">
        <f>SUM(J9:J10)</f>
        <v>1040</v>
      </c>
      <c r="K37" s="14">
        <f>I37/$I$23</f>
        <v>0.09518595819</v>
      </c>
    </row>
    <row r="38">
      <c r="B38" s="11" t="inlineStr">
        <is>
          <t>3. Data Foundation</t>
        </is>
      </c>
      <c r="I38" s="13">
        <f>SUM(I11:I14)</f>
        <v>629500</v>
      </c>
      <c r="J38" s="12">
        <f>SUM(J11:J14)</f>
        <v>2940</v>
      </c>
      <c r="K38" s="14">
        <f>I38/$I$23</f>
        <v>0.2153830362</v>
      </c>
    </row>
    <row r="39">
      <c r="B39" s="11" t="inlineStr">
        <is>
          <t>4. Agentic AI Discovery UC</t>
        </is>
      </c>
      <c r="I39" s="13">
        <f>SUM(I15:I21)</f>
        <v>1676400</v>
      </c>
      <c r="J39" s="12">
        <f>SUM(J15:J21)</f>
        <v>5600</v>
      </c>
      <c r="K39" s="14">
        <f>I39/$I$23</f>
        <v>0.5735792247</v>
      </c>
    </row>
    <row r="40">
      <c r="B40" s="11" t="inlineStr">
        <is>
          <t>5. SecureByDefault &amp; Ops</t>
        </is>
      </c>
      <c r="I40" s="13">
        <f>SUM(I22:I22)</f>
        <v>50400</v>
      </c>
      <c r="J40" s="12">
        <f>SUM(J22:J22)</f>
        <v>560</v>
      </c>
      <c r="K40" s="14">
        <f>I40/$I$23</f>
        <v>0.01724432887</v>
      </c>
    </row>
    <row r="41">
      <c r="B41" s="15" t="inlineStr">
        <is>
          <t>Total</t>
        </is>
      </c>
      <c r="I41" s="17">
        <f>SUM(I36:I40)</f>
        <v>2922700</v>
      </c>
      <c r="J41" s="16">
        <f>SUM(J36:J40)</f>
        <v>11190</v>
      </c>
      <c r="K41" s="18">
        <f>SUM(K36:K40)</f>
        <v>1</v>
      </c>
    </row>
  </sheetData>
  <mergeCells count="11">
    <mergeCell ref="B4:B5"/>
    <mergeCell ref="C4:C5"/>
    <mergeCell ref="A4:A5"/>
    <mergeCell ref="F4:F5"/>
    <mergeCell ref="E4:E5"/>
    <mergeCell ref="D4:D5"/>
    <mergeCell ref="G4:G5"/>
    <mergeCell ref="H4:H5"/>
    <mergeCell ref="I4:I5"/>
    <mergeCell ref="J4:J5"/>
    <mergeCell ref="K4: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2" customWidth="1" min="10" max="10"/>
  </cols>
  <sheetData>
    <row r="1">
      <c r="A1" s="26" t="inlineStr">
        <is>
          <t>UC1 — Staffing Plan (FTE by phase)</t>
        </is>
      </c>
    </row>
    <row r="2">
      <c r="A2" s="3" t="inlineStr">
        <is>
          <t>FTE = phase hours ÷ (phase weeks × utilised hours/week). Hours link from WBS &amp; Estimates (green). Weeks &amp; hrs/week are inputs (blue).</t>
        </is>
      </c>
    </row>
    <row r="4">
      <c r="A4" s="38" t="inlineStr">
        <is>
          <t>Assumptions:</t>
        </is>
      </c>
      <c r="B4" s="35" t="inlineStr">
        <is>
          <t>Utilised hrs/week</t>
        </is>
      </c>
      <c r="C4" s="20" t="n">
        <v>40</v>
      </c>
    </row>
    <row r="5">
      <c r="C5" s="33" t="inlineStr">
        <is>
          <t>Phase weeks →</t>
        </is>
      </c>
      <c r="D5" s="20" t="n">
        <v>13</v>
      </c>
      <c r="E5" s="20" t="n">
        <v>13</v>
      </c>
      <c r="F5" s="20" t="n">
        <v>13</v>
      </c>
      <c r="G5" s="20" t="n">
        <v>9</v>
      </c>
      <c r="H5" s="20" t="n">
        <v>17</v>
      </c>
    </row>
    <row r="6">
      <c r="A6" s="10" t="inlineStr">
        <is>
          <t>Team</t>
        </is>
      </c>
      <c r="B6" s="10" t="inlineStr">
        <is>
          <t>Project Role</t>
        </is>
      </c>
      <c r="C6" s="10" t="inlineStr">
        <is>
          <t>Resource Title</t>
        </is>
      </c>
      <c r="D6" s="10" t="inlineStr">
        <is>
          <t>P0 Foundation</t>
        </is>
      </c>
      <c r="E6" s="10" t="inlineStr">
        <is>
          <t>P1 Pilot</t>
        </is>
      </c>
      <c r="F6" s="10" t="inlineStr">
        <is>
          <t>P2 Orchestration</t>
        </is>
      </c>
      <c r="G6" s="10" t="inlineStr">
        <is>
          <t>P3 Federation</t>
        </is>
      </c>
      <c r="H6" s="10" t="inlineStr">
        <is>
          <t>P4 Scale</t>
        </is>
      </c>
      <c r="I6" s="10" t="inlineStr">
        <is>
          <t>Peak FTE</t>
        </is>
      </c>
      <c r="J6" s="10" t="inlineStr">
        <is>
          <t>Total Hours</t>
        </is>
      </c>
    </row>
    <row r="7">
      <c r="A7" s="19" t="inlineStr">
        <is>
          <t>Onshore</t>
        </is>
      </c>
      <c r="B7" s="30" t="inlineStr">
        <is>
          <t>Delivery Management Exec</t>
        </is>
      </c>
      <c r="C7" s="30" t="inlineStr">
        <is>
          <t>Delivery Management Executive</t>
        </is>
      </c>
      <c r="D7" s="21">
        <f>IF(D$5=0,0,'WBS &amp; Estimates'!L6/(D$5*$C$4))</f>
        <v>0.05</v>
      </c>
      <c r="E7" s="21">
        <f>IF(E$5=0,0,'WBS &amp; Estimates'!M6/(E$5*$C$4))</f>
        <v>0.05</v>
      </c>
      <c r="F7" s="21">
        <f>IF(F$5=0,0,'WBS &amp; Estimates'!N6/(F$5*$C$4))</f>
        <v>0.05</v>
      </c>
      <c r="G7" s="21">
        <f>IF(G$5=0,0,'WBS &amp; Estimates'!O6/(G$5*$C$4))</f>
        <v>0.05</v>
      </c>
      <c r="H7" s="21">
        <f>IF(H$5=0,0,'WBS &amp; Estimates'!P6/(H$5*$C$4))</f>
        <v>0.05</v>
      </c>
      <c r="I7" s="39">
        <f>MAX(D7:H7)</f>
        <v>0.05</v>
      </c>
      <c r="J7" s="6">
        <f>'WBS &amp; Estimates'!J6</f>
        <v>130</v>
      </c>
    </row>
    <row r="8">
      <c r="A8" s="19" t="inlineStr">
        <is>
          <t>Onshore</t>
        </is>
      </c>
      <c r="B8" s="30" t="inlineStr">
        <is>
          <t>Engagement / Project Manager</t>
        </is>
      </c>
      <c r="C8" s="30" t="inlineStr">
        <is>
          <t>Senior Project Manager</t>
        </is>
      </c>
      <c r="D8" s="21">
        <f>IF(D$5=0,0,'WBS &amp; Estimates'!L7/(D$5*$C$4))</f>
        <v>0.2</v>
      </c>
      <c r="E8" s="21">
        <f>IF(E$5=0,0,'WBS &amp; Estimates'!M7/(E$5*$C$4))</f>
        <v>0.2</v>
      </c>
      <c r="F8" s="21">
        <f>IF(F$5=0,0,'WBS &amp; Estimates'!N7/(F$5*$C$4))</f>
        <v>0.2</v>
      </c>
      <c r="G8" s="21">
        <f>IF(G$5=0,0,'WBS &amp; Estimates'!O7/(G$5*$C$4))</f>
        <v>0.2</v>
      </c>
      <c r="H8" s="21">
        <f>IF(H$5=0,0,'WBS &amp; Estimates'!P7/(H$5*$C$4))</f>
        <v>0.2</v>
      </c>
      <c r="I8" s="39">
        <f>MAX(D8:H8)</f>
        <v>0.2</v>
      </c>
      <c r="J8" s="6">
        <f>'WBS &amp; Estimates'!J7</f>
        <v>520</v>
      </c>
    </row>
    <row r="9">
      <c r="A9" s="19" t="inlineStr">
        <is>
          <t>Offshore</t>
        </is>
      </c>
      <c r="B9" s="30" t="inlineStr">
        <is>
          <t>Offshore Project Manager</t>
        </is>
      </c>
      <c r="C9" s="30" t="inlineStr">
        <is>
          <t>GD Offshore</t>
        </is>
      </c>
      <c r="D9" s="21">
        <f>IF(D$5=0,0,'WBS &amp; Estimates'!L8/(D$5*$C$4))</f>
        <v>0.1538461538</v>
      </c>
      <c r="E9" s="21">
        <f>IF(E$5=0,0,'WBS &amp; Estimates'!M8/(E$5*$C$4))</f>
        <v>0.1538461538</v>
      </c>
      <c r="F9" s="21">
        <f>IF(F$5=0,0,'WBS &amp; Estimates'!N8/(F$5*$C$4))</f>
        <v>0.1538461538</v>
      </c>
      <c r="G9" s="21">
        <f>IF(G$5=0,0,'WBS &amp; Estimates'!O8/(G$5*$C$4))</f>
        <v>0.1111111111</v>
      </c>
      <c r="H9" s="21">
        <f>IF(H$5=0,0,'WBS &amp; Estimates'!P8/(H$5*$C$4))</f>
        <v>0.1764705882</v>
      </c>
      <c r="I9" s="39">
        <f>MAX(D9:H9)</f>
        <v>0.1764705882</v>
      </c>
      <c r="J9" s="6">
        <f>'WBS &amp; Estimates'!J8</f>
        <v>400</v>
      </c>
    </row>
    <row r="10">
      <c r="A10" s="19" t="inlineStr">
        <is>
          <t>Onshore</t>
        </is>
      </c>
      <c r="B10" s="30" t="inlineStr">
        <is>
          <t>Security &amp; Compliance Architect</t>
        </is>
      </c>
      <c r="C10" s="30" t="inlineStr">
        <is>
          <t>Security Architect</t>
        </is>
      </c>
      <c r="D10" s="21">
        <f>IF(D$5=0,0,'WBS &amp; Estimates'!L9/(D$5*$C$4))</f>
        <v>0.3076923077</v>
      </c>
      <c r="E10" s="21">
        <f>IF(E$5=0,0,'WBS &amp; Estimates'!M9/(E$5*$C$4))</f>
        <v>0.2307692308</v>
      </c>
      <c r="F10" s="21">
        <f>IF(F$5=0,0,'WBS &amp; Estimates'!N9/(F$5*$C$4))</f>
        <v>0.1538461538</v>
      </c>
      <c r="G10" s="21">
        <f>IF(G$5=0,0,'WBS &amp; Estimates'!O9/(G$5*$C$4))</f>
        <v>0.2222222222</v>
      </c>
      <c r="H10" s="21">
        <f>IF(H$5=0,0,'WBS &amp; Estimates'!P9/(H$5*$C$4))</f>
        <v>0.1176470588</v>
      </c>
      <c r="I10" s="39">
        <f>MAX(D10:H10)</f>
        <v>0.3076923077</v>
      </c>
      <c r="J10" s="6">
        <f>'WBS &amp; Estimates'!J9</f>
        <v>520</v>
      </c>
    </row>
    <row r="11">
      <c r="A11" s="19" t="inlineStr">
        <is>
          <t>Offshore</t>
        </is>
      </c>
      <c r="B11" s="30" t="inlineStr">
        <is>
          <t>Compliance / Validation Consultant</t>
        </is>
      </c>
      <c r="C11" s="30" t="inlineStr">
        <is>
          <t>GD Offshore</t>
        </is>
      </c>
      <c r="D11" s="21">
        <f>IF(D$5=0,0,'WBS &amp; Estimates'!L10/(D$5*$C$4))</f>
        <v>0.2307692308</v>
      </c>
      <c r="E11" s="21">
        <f>IF(E$5=0,0,'WBS &amp; Estimates'!M10/(E$5*$C$4))</f>
        <v>0.2307692308</v>
      </c>
      <c r="F11" s="21">
        <f>IF(F$5=0,0,'WBS &amp; Estimates'!N10/(F$5*$C$4))</f>
        <v>0.1538461538</v>
      </c>
      <c r="G11" s="21">
        <f>IF(G$5=0,0,'WBS &amp; Estimates'!O10/(G$5*$C$4))</f>
        <v>0.2222222222</v>
      </c>
      <c r="H11" s="21">
        <f>IF(H$5=0,0,'WBS &amp; Estimates'!P10/(H$5*$C$4))</f>
        <v>0.1764705882</v>
      </c>
      <c r="I11" s="39">
        <f>MAX(D11:H11)</f>
        <v>0.2307692308</v>
      </c>
      <c r="J11" s="6">
        <f>'WBS &amp; Estimates'!J10</f>
        <v>520</v>
      </c>
    </row>
    <row r="12">
      <c r="A12" s="19" t="inlineStr">
        <is>
          <t>Onshore</t>
        </is>
      </c>
      <c r="B12" s="30" t="inlineStr">
        <is>
          <t>Data &amp; AI Architect</t>
        </is>
      </c>
      <c r="C12" s="30" t="inlineStr">
        <is>
          <t>Domain Solution Architect</t>
        </is>
      </c>
      <c r="D12" s="21">
        <f>IF(D$5=0,0,'WBS &amp; Estimates'!L11/(D$5*$C$4))</f>
        <v>0.3076923077</v>
      </c>
      <c r="E12" s="21">
        <f>IF(E$5=0,0,'WBS &amp; Estimates'!M11/(E$5*$C$4))</f>
        <v>0.1538461538</v>
      </c>
      <c r="F12" s="21">
        <f>IF(F$5=0,0,'WBS &amp; Estimates'!N11/(F$5*$C$4))</f>
        <v>0.1538461538</v>
      </c>
      <c r="G12" s="21">
        <f>IF(G$5=0,0,'WBS &amp; Estimates'!O11/(G$5*$C$4))</f>
        <v>0.1666666667</v>
      </c>
      <c r="H12" s="21">
        <f>IF(H$5=0,0,'WBS &amp; Estimates'!P11/(H$5*$C$4))</f>
        <v>0.1176470588</v>
      </c>
      <c r="I12" s="39">
        <f>MAX(D12:H12)</f>
        <v>0.3076923077</v>
      </c>
      <c r="J12" s="6">
        <f>'WBS &amp; Estimates'!J11</f>
        <v>460</v>
      </c>
    </row>
    <row r="13">
      <c r="A13" s="19" t="inlineStr">
        <is>
          <t>Onshore</t>
        </is>
      </c>
      <c r="B13" s="30" t="inlineStr">
        <is>
          <t>Data &amp; AI Engineer</t>
        </is>
      </c>
      <c r="C13" s="30" t="inlineStr">
        <is>
          <t>Senior Consultant</t>
        </is>
      </c>
      <c r="D13" s="21">
        <f>IF(D$5=0,0,'WBS &amp; Estimates'!L12/(D$5*$C$4))</f>
        <v>0.4615384615</v>
      </c>
      <c r="E13" s="21">
        <f>IF(E$5=0,0,'WBS &amp; Estimates'!M12/(E$5*$C$4))</f>
        <v>0.3076923077</v>
      </c>
      <c r="F13" s="21">
        <f>IF(F$5=0,0,'WBS &amp; Estimates'!N12/(F$5*$C$4))</f>
        <v>0.2307692308</v>
      </c>
      <c r="G13" s="21">
        <f>IF(G$5=0,0,'WBS &amp; Estimates'!O12/(G$5*$C$4))</f>
        <v>0.3333333333</v>
      </c>
      <c r="H13" s="21">
        <f>IF(H$5=0,0,'WBS &amp; Estimates'!P12/(H$5*$C$4))</f>
        <v>0.2352941176</v>
      </c>
      <c r="I13" s="39">
        <f>MAX(D13:H13)</f>
        <v>0.4615384615</v>
      </c>
      <c r="J13" s="6">
        <f>'WBS &amp; Estimates'!J12</f>
        <v>800</v>
      </c>
    </row>
    <row r="14">
      <c r="A14" s="19" t="inlineStr">
        <is>
          <t>Offshore</t>
        </is>
      </c>
      <c r="B14" s="30" t="inlineStr">
        <is>
          <t>Data &amp; AI Engineer (offshore)</t>
        </is>
      </c>
      <c r="C14" s="30" t="inlineStr">
        <is>
          <t>GD Offshore</t>
        </is>
      </c>
      <c r="D14" s="21">
        <f>IF(D$5=0,0,'WBS &amp; Estimates'!L13/(D$5*$C$4))</f>
        <v>0.6153846154</v>
      </c>
      <c r="E14" s="21">
        <f>IF(E$5=0,0,'WBS &amp; Estimates'!M13/(E$5*$C$4))</f>
        <v>0.4615384615</v>
      </c>
      <c r="F14" s="21">
        <f>IF(F$5=0,0,'WBS &amp; Estimates'!N13/(F$5*$C$4))</f>
        <v>0.3076923077</v>
      </c>
      <c r="G14" s="21">
        <f>IF(G$5=0,0,'WBS &amp; Estimates'!O13/(G$5*$C$4))</f>
        <v>0.4444444444</v>
      </c>
      <c r="H14" s="21">
        <f>IF(H$5=0,0,'WBS &amp; Estimates'!P13/(H$5*$C$4))</f>
        <v>0.3529411765</v>
      </c>
      <c r="I14" s="39">
        <f>MAX(D14:H14)</f>
        <v>0.6153846154</v>
      </c>
      <c r="J14" s="6">
        <f>'WBS &amp; Estimates'!J13</f>
        <v>1120</v>
      </c>
    </row>
    <row r="15">
      <c r="A15" s="19" t="inlineStr">
        <is>
          <t>Offshore</t>
        </is>
      </c>
      <c r="B15" s="30" t="inlineStr">
        <is>
          <t>Azure Infra &amp; Networking Eng (offshore)</t>
        </is>
      </c>
      <c r="C15" s="30" t="inlineStr">
        <is>
          <t>GD Offshore</t>
        </is>
      </c>
      <c r="D15" s="21">
        <f>IF(D$5=0,0,'WBS &amp; Estimates'!L14/(D$5*$C$4))</f>
        <v>0.3846153846</v>
      </c>
      <c r="E15" s="21">
        <f>IF(E$5=0,0,'WBS &amp; Estimates'!M14/(E$5*$C$4))</f>
        <v>0.1538461538</v>
      </c>
      <c r="F15" s="21">
        <f>IF(F$5=0,0,'WBS &amp; Estimates'!N14/(F$5*$C$4))</f>
        <v>0.1538461538</v>
      </c>
      <c r="G15" s="21">
        <f>IF(G$5=0,0,'WBS &amp; Estimates'!O14/(G$5*$C$4))</f>
        <v>0.2222222222</v>
      </c>
      <c r="H15" s="21">
        <f>IF(H$5=0,0,'WBS &amp; Estimates'!P14/(H$5*$C$4))</f>
        <v>0.1764705882</v>
      </c>
      <c r="I15" s="39">
        <f>MAX(D15:H15)</f>
        <v>0.3846153846</v>
      </c>
      <c r="J15" s="6">
        <f>'WBS &amp; Estimates'!J14</f>
        <v>560</v>
      </c>
    </row>
    <row r="16">
      <c r="A16" s="19" t="inlineStr">
        <is>
          <t>Onshore</t>
        </is>
      </c>
      <c r="B16" s="30" t="inlineStr">
        <is>
          <t>Lead Solution Architect</t>
        </is>
      </c>
      <c r="C16" s="30" t="inlineStr">
        <is>
          <t>Senior Domain Solution Architect</t>
        </is>
      </c>
      <c r="D16" s="21">
        <f>IF(D$5=0,0,'WBS &amp; Estimates'!L15/(D$5*$C$4))</f>
        <v>0.07692307692</v>
      </c>
      <c r="E16" s="21">
        <f>IF(E$5=0,0,'WBS &amp; Estimates'!M15/(E$5*$C$4))</f>
        <v>0.2307692308</v>
      </c>
      <c r="F16" s="21">
        <f>IF(F$5=0,0,'WBS &amp; Estimates'!N15/(F$5*$C$4))</f>
        <v>0.3076923077</v>
      </c>
      <c r="G16" s="21">
        <f>IF(G$5=0,0,'WBS &amp; Estimates'!O15/(G$5*$C$4))</f>
        <v>0.3333333333</v>
      </c>
      <c r="H16" s="21">
        <f>IF(H$5=0,0,'WBS &amp; Estimates'!P15/(H$5*$C$4))</f>
        <v>0.2352941176</v>
      </c>
      <c r="I16" s="39">
        <f>MAX(D16:H16)</f>
        <v>0.3333333333</v>
      </c>
      <c r="J16" s="6">
        <f>'WBS &amp; Estimates'!J15</f>
        <v>600</v>
      </c>
    </row>
    <row r="17">
      <c r="A17" s="19" t="inlineStr">
        <is>
          <t>Onshore</t>
        </is>
      </c>
      <c r="B17" s="30" t="inlineStr">
        <is>
          <t>Product Owner</t>
        </is>
      </c>
      <c r="C17" s="30" t="inlineStr">
        <is>
          <t>Consulting Product Manager</t>
        </is>
      </c>
      <c r="D17" s="21">
        <f>IF(D$5=0,0,'WBS &amp; Estimates'!L16/(D$5*$C$4))</f>
        <v>0.07692307692</v>
      </c>
      <c r="E17" s="21">
        <f>IF(E$5=0,0,'WBS &amp; Estimates'!M16/(E$5*$C$4))</f>
        <v>0.2307692308</v>
      </c>
      <c r="F17" s="21">
        <f>IF(F$5=0,0,'WBS &amp; Estimates'!N16/(F$5*$C$4))</f>
        <v>0.2307692308</v>
      </c>
      <c r="G17" s="21">
        <f>IF(G$5=0,0,'WBS &amp; Estimates'!O16/(G$5*$C$4))</f>
        <v>0.2222222222</v>
      </c>
      <c r="H17" s="21">
        <f>IF(H$5=0,0,'WBS &amp; Estimates'!P16/(H$5*$C$4))</f>
        <v>0.1764705882</v>
      </c>
      <c r="I17" s="39">
        <f>MAX(D17:H17)</f>
        <v>0.2307692308</v>
      </c>
      <c r="J17" s="6">
        <f>'WBS &amp; Estimates'!J16</f>
        <v>480</v>
      </c>
    </row>
    <row r="18">
      <c r="A18" s="19" t="inlineStr">
        <is>
          <t>Onshore</t>
        </is>
      </c>
      <c r="B18" s="30" t="inlineStr">
        <is>
          <t>Principal Data Scientist</t>
        </is>
      </c>
      <c r="C18" s="30" t="inlineStr">
        <is>
          <t>Principal Data Scientist</t>
        </is>
      </c>
      <c r="D18" s="21">
        <f>IF(D$5=0,0,'WBS &amp; Estimates'!L17/(D$5*$C$4))</f>
        <v>0.07692307692</v>
      </c>
      <c r="E18" s="21">
        <f>IF(E$5=0,0,'WBS &amp; Estimates'!M17/(E$5*$C$4))</f>
        <v>0.3076923077</v>
      </c>
      <c r="F18" s="21">
        <f>IF(F$5=0,0,'WBS &amp; Estimates'!N17/(F$5*$C$4))</f>
        <v>0.3846153846</v>
      </c>
      <c r="G18" s="21">
        <f>IF(G$5=0,0,'WBS &amp; Estimates'!O17/(G$5*$C$4))</f>
        <v>0.3333333333</v>
      </c>
      <c r="H18" s="21">
        <f>IF(H$5=0,0,'WBS &amp; Estimates'!P17/(H$5*$C$4))</f>
        <v>0.2352941176</v>
      </c>
      <c r="I18" s="39">
        <f>MAX(D18:H18)</f>
        <v>0.3846153846</v>
      </c>
      <c r="J18" s="6">
        <f>'WBS &amp; Estimates'!J17</f>
        <v>680</v>
      </c>
    </row>
    <row r="19">
      <c r="A19" s="19" t="inlineStr">
        <is>
          <t>Onshore</t>
        </is>
      </c>
      <c r="B19" s="30" t="inlineStr">
        <is>
          <t>Senior Data Scientist</t>
        </is>
      </c>
      <c r="C19" s="30" t="inlineStr">
        <is>
          <t>Senior Data Scientist</t>
        </is>
      </c>
      <c r="D19" s="21">
        <f>IF(D$5=0,0,'WBS &amp; Estimates'!L18/(D$5*$C$4))</f>
        <v>0</v>
      </c>
      <c r="E19" s="21">
        <f>IF(E$5=0,0,'WBS &amp; Estimates'!M18/(E$5*$C$4))</f>
        <v>0.3846153846</v>
      </c>
      <c r="F19" s="21">
        <f>IF(F$5=0,0,'WBS &amp; Estimates'!N18/(F$5*$C$4))</f>
        <v>0.4615384615</v>
      </c>
      <c r="G19" s="21">
        <f>IF(G$5=0,0,'WBS &amp; Estimates'!O18/(G$5*$C$4))</f>
        <v>0.4444444444</v>
      </c>
      <c r="H19" s="21">
        <f>IF(H$5=0,0,'WBS &amp; Estimates'!P18/(H$5*$C$4))</f>
        <v>0.3529411765</v>
      </c>
      <c r="I19" s="39">
        <f>MAX(D19:H19)</f>
        <v>0.4615384615</v>
      </c>
      <c r="J19" s="6">
        <f>'WBS &amp; Estimates'!J18</f>
        <v>840</v>
      </c>
    </row>
    <row r="20">
      <c r="A20" s="19" t="inlineStr">
        <is>
          <t>Onshore</t>
        </is>
      </c>
      <c r="B20" s="30" t="inlineStr">
        <is>
          <t>Data &amp; AI Engineer (agents)</t>
        </is>
      </c>
      <c r="C20" s="30" t="inlineStr">
        <is>
          <t>Senior Consultant</t>
        </is>
      </c>
      <c r="D20" s="21">
        <f>IF(D$5=0,0,'WBS &amp; Estimates'!L19/(D$5*$C$4))</f>
        <v>0</v>
      </c>
      <c r="E20" s="21">
        <f>IF(E$5=0,0,'WBS &amp; Estimates'!M19/(E$5*$C$4))</f>
        <v>0.3846153846</v>
      </c>
      <c r="F20" s="21">
        <f>IF(F$5=0,0,'WBS &amp; Estimates'!N19/(F$5*$C$4))</f>
        <v>0.5384615385</v>
      </c>
      <c r="G20" s="21">
        <f>IF(G$5=0,0,'WBS &amp; Estimates'!O19/(G$5*$C$4))</f>
        <v>0.5555555556</v>
      </c>
      <c r="H20" s="21">
        <f>IF(H$5=0,0,'WBS &amp; Estimates'!P19/(H$5*$C$4))</f>
        <v>0.4705882353</v>
      </c>
      <c r="I20" s="39">
        <f>MAX(D20:H20)</f>
        <v>0.5555555556</v>
      </c>
      <c r="J20" s="6">
        <f>'WBS &amp; Estimates'!J19</f>
        <v>1000</v>
      </c>
    </row>
    <row r="21">
      <c r="A21" s="19" t="inlineStr">
        <is>
          <t>Offshore</t>
        </is>
      </c>
      <c r="B21" s="30" t="inlineStr">
        <is>
          <t>Data &amp; AI Engineer (offshore, agents)</t>
        </is>
      </c>
      <c r="C21" s="30" t="inlineStr">
        <is>
          <t>GD Offshore</t>
        </is>
      </c>
      <c r="D21" s="21">
        <f>IF(D$5=0,0,'WBS &amp; Estimates'!L20/(D$5*$C$4))</f>
        <v>0</v>
      </c>
      <c r="E21" s="21">
        <f>IF(E$5=0,0,'WBS &amp; Estimates'!M20/(E$5*$C$4))</f>
        <v>0.4615384615</v>
      </c>
      <c r="F21" s="21">
        <f>IF(F$5=0,0,'WBS &amp; Estimates'!N20/(F$5*$C$4))</f>
        <v>0.6923076923</v>
      </c>
      <c r="G21" s="21">
        <f>IF(G$5=0,0,'WBS &amp; Estimates'!O20/(G$5*$C$4))</f>
        <v>0.7777777778</v>
      </c>
      <c r="H21" s="21">
        <f>IF(H$5=0,0,'WBS &amp; Estimates'!P20/(H$5*$C$4))</f>
        <v>0.7058823529</v>
      </c>
      <c r="I21" s="39">
        <f>MAX(D21:H21)</f>
        <v>0.7777777778</v>
      </c>
      <c r="J21" s="6">
        <f>'WBS &amp; Estimates'!J20</f>
        <v>1360</v>
      </c>
    </row>
    <row r="22">
      <c r="A22" s="19" t="inlineStr">
        <is>
          <t>Offshore</t>
        </is>
      </c>
      <c r="B22" s="30" t="inlineStr">
        <is>
          <t>Eval / Test Consultant (offshore)</t>
        </is>
      </c>
      <c r="C22" s="30" t="inlineStr">
        <is>
          <t>GD Offshore</t>
        </is>
      </c>
      <c r="D22" s="21">
        <f>IF(D$5=0,0,'WBS &amp; Estimates'!L21/(D$5*$C$4))</f>
        <v>0</v>
      </c>
      <c r="E22" s="21">
        <f>IF(E$5=0,0,'WBS &amp; Estimates'!M21/(E$5*$C$4))</f>
        <v>0.1538461538</v>
      </c>
      <c r="F22" s="21">
        <f>IF(F$5=0,0,'WBS &amp; Estimates'!N21/(F$5*$C$4))</f>
        <v>0.3076923077</v>
      </c>
      <c r="G22" s="21">
        <f>IF(G$5=0,0,'WBS &amp; Estimates'!O21/(G$5*$C$4))</f>
        <v>0.4444444444</v>
      </c>
      <c r="H22" s="21">
        <f>IF(H$5=0,0,'WBS &amp; Estimates'!P21/(H$5*$C$4))</f>
        <v>0.3529411765</v>
      </c>
      <c r="I22" s="39">
        <f>MAX(D22:H22)</f>
        <v>0.4444444444</v>
      </c>
      <c r="J22" s="6">
        <f>'WBS &amp; Estimates'!J21</f>
        <v>640</v>
      </c>
    </row>
    <row r="23">
      <c r="A23" s="19" t="inlineStr">
        <is>
          <t>Offshore</t>
        </is>
      </c>
      <c r="B23" s="30" t="inlineStr">
        <is>
          <t>SbD / Platform Ops (offshore)</t>
        </is>
      </c>
      <c r="C23" s="30" t="inlineStr">
        <is>
          <t>GD Offshore</t>
        </is>
      </c>
      <c r="D23" s="21">
        <f>IF(D$5=0,0,'WBS &amp; Estimates'!L22/(D$5*$C$4))</f>
        <v>0</v>
      </c>
      <c r="E23" s="21">
        <f>IF(E$5=0,0,'WBS &amp; Estimates'!M22/(E$5*$C$4))</f>
        <v>0.07692307692</v>
      </c>
      <c r="F23" s="21">
        <f>IF(F$5=0,0,'WBS &amp; Estimates'!N22/(F$5*$C$4))</f>
        <v>0.1538461538</v>
      </c>
      <c r="G23" s="21">
        <f>IF(G$5=0,0,'WBS &amp; Estimates'!O22/(G$5*$C$4))</f>
        <v>0.3333333333</v>
      </c>
      <c r="H23" s="21">
        <f>IF(H$5=0,0,'WBS &amp; Estimates'!P22/(H$5*$C$4))</f>
        <v>0.4705882353</v>
      </c>
      <c r="I23" s="39">
        <f>MAX(D23:H23)</f>
        <v>0.4705882353</v>
      </c>
      <c r="J23" s="6">
        <f>'WBS &amp; Estimates'!J22</f>
        <v>560</v>
      </c>
    </row>
    <row r="24">
      <c r="A24" s="15" t="inlineStr">
        <is>
          <t>TOTAL</t>
        </is>
      </c>
      <c r="B24" s="22" t="inlineStr"/>
      <c r="C24" s="15" t="inlineStr">
        <is>
          <t>Blended FTE / phase</t>
        </is>
      </c>
      <c r="D24" s="24">
        <f>SUM(D7:D23)</f>
        <v>2.942307692</v>
      </c>
      <c r="E24" s="24">
        <f>SUM(E7:E23)</f>
        <v>4.173076923</v>
      </c>
      <c r="F24" s="24">
        <f>SUM(F7:F23)</f>
        <v>4.634615385</v>
      </c>
      <c r="G24" s="24">
        <f>SUM(G7:G23)</f>
        <v>5.416666667</v>
      </c>
      <c r="H24" s="24">
        <f>SUM(H7:H23)</f>
        <v>4.602941176</v>
      </c>
      <c r="I24" s="24">
        <f>MAX(D24:H24)</f>
        <v>5.416666667</v>
      </c>
      <c r="J24" s="16">
        <f>'WBS &amp; Estimates'!J23</f>
        <v>11190</v>
      </c>
    </row>
    <row r="25">
      <c r="C25" s="5" t="inlineStr">
        <is>
          <t>Named roles (headcount)</t>
        </is>
      </c>
      <c r="J25" s="4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2026-06-25T23:38:58Z</dcterms:created>
  <dcterms:modified xmlns:dcterms="http://purl.org/dc/terms/" xmlns:xsi="http://www.w3.org/2001/XMLSchema-instance" xsi:type="dcterms:W3CDTF">2026-06-25T23:38:58Z</dcterms:modified>
</cp:coreProperties>
</file>